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Sales_Data" sheetId="2" state="visible" r:id="rId4"/>
    <sheet name="Customer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<sst xmlns="http://schemas.openxmlformats.org/spreadsheetml/2006/main" count="162" uniqueCount="141">
  <si>
    <t xml:space="preserve">📊  ANNUAL BILLING DASHBOARD — FY 2025-26</t>
  </si>
  <si>
    <t xml:space="preserve">Business Performance Overview | Sharma Trading Co. | Ghaziabad, UP</t>
  </si>
  <si>
    <t xml:space="preserve">📋 Total Invoices</t>
  </si>
  <si>
    <t xml:space="preserve">💰 Total Revenue</t>
  </si>
  <si>
    <t xml:space="preserve">✅ Collected</t>
  </si>
  <si>
    <t xml:space="preserve">⚡ Outstanding</t>
  </si>
  <si>
    <t xml:space="preserve">📈 Net Profit</t>
  </si>
  <si>
    <t xml:space="preserve">508</t>
  </si>
  <si>
    <t xml:space="preserve">₹46,52,000</t>
  </si>
  <si>
    <t xml:space="preserve">₹43,48,000</t>
  </si>
  <si>
    <t xml:space="preserve">₹3,04,000</t>
  </si>
  <si>
    <t xml:space="preserve">₹17,75,000</t>
  </si>
  <si>
    <t xml:space="preserve">vs LY: +12%</t>
  </si>
  <si>
    <t xml:space="preserve">18% Growth</t>
  </si>
  <si>
    <t xml:space="preserve">93.5% Rate</t>
  </si>
  <si>
    <t xml:space="preserve">6.5% Pending</t>
  </si>
  <si>
    <t xml:space="preserve">38.2% Margin</t>
  </si>
  <si>
    <t xml:space="preserve">📅 Monthly Revenue &amp; Collections</t>
  </si>
  <si>
    <t xml:space="preserve">🏆 Top 10 Customers by Revenue</t>
  </si>
  <si>
    <t xml:space="preserve">Month</t>
  </si>
  <si>
    <t xml:space="preserve">Revenue (₹)</t>
  </si>
  <si>
    <t xml:space="preserve">Collected (₹)</t>
  </si>
  <si>
    <t xml:space="preserve">Outstanding (₹)</t>
  </si>
  <si>
    <t xml:space="preserve">Profit (₹)</t>
  </si>
  <si>
    <t xml:space="preserve">Rank</t>
  </si>
  <si>
    <t xml:space="preserve">Customer</t>
  </si>
  <si>
    <t xml:space="preserve">Revenue</t>
  </si>
  <si>
    <t xml:space="preserve">Collected</t>
  </si>
  <si>
    <t xml:space="preserve">Balance</t>
  </si>
  <si>
    <t xml:space="preserve">Category</t>
  </si>
  <si>
    <t xml:space="preserve">Apr'25</t>
  </si>
  <si>
    <t xml:space="preserve">🥇</t>
  </si>
  <si>
    <t xml:space="preserve">May'25</t>
  </si>
  <si>
    <t xml:space="preserve">🥈</t>
  </si>
  <si>
    <t xml:space="preserve">Jun'25</t>
  </si>
  <si>
    <t xml:space="preserve">🥉</t>
  </si>
  <si>
    <t xml:space="preserve">Jul'25</t>
  </si>
  <si>
    <t xml:space="preserve">4</t>
  </si>
  <si>
    <t xml:space="preserve">Aug'25</t>
  </si>
  <si>
    <t xml:space="preserve">5</t>
  </si>
  <si>
    <t xml:space="preserve">Sep'25</t>
  </si>
  <si>
    <t xml:space="preserve">6</t>
  </si>
  <si>
    <t xml:space="preserve">Oct'25</t>
  </si>
  <si>
    <t xml:space="preserve">7</t>
  </si>
  <si>
    <t xml:space="preserve">Nov'25</t>
  </si>
  <si>
    <t xml:space="preserve">8</t>
  </si>
  <si>
    <t xml:space="preserve">Dec'25</t>
  </si>
  <si>
    <t xml:space="preserve">9</t>
  </si>
  <si>
    <t xml:space="preserve">Jan'26</t>
  </si>
  <si>
    <t xml:space="preserve">10</t>
  </si>
  <si>
    <t xml:space="preserve">Feb'26</t>
  </si>
  <si>
    <t xml:space="preserve">Mar'26</t>
  </si>
  <si>
    <t xml:space="preserve">TOTAL</t>
  </si>
  <si>
    <t xml:space="preserve">📊 Key Performance Metrics</t>
  </si>
  <si>
    <t xml:space="preserve">📆 Quarterly Analysis</t>
  </si>
  <si>
    <t xml:space="preserve">📂 Revenue by Invoice Type</t>
  </si>
  <si>
    <t xml:space="preserve">Avg Monthly Revenue</t>
  </si>
  <si>
    <t xml:space="preserve">Quarter</t>
  </si>
  <si>
    <t xml:space="preserve">Profit</t>
  </si>
  <si>
    <t xml:space="preserve">Growth</t>
  </si>
  <si>
    <t xml:space="preserve">Type</t>
  </si>
  <si>
    <t xml:space="preserve">Share</t>
  </si>
  <si>
    <t xml:space="preserve">Trend</t>
  </si>
  <si>
    <t xml:space="preserve">Best Month Revenue</t>
  </si>
  <si>
    <t xml:space="preserve">Q1 (Apr-Jun)</t>
  </si>
  <si>
    <t xml:space="preserve">Base</t>
  </si>
  <si>
    <t xml:space="preserve">GST Invoice</t>
  </si>
  <si>
    <t xml:space="preserve">46.2%</t>
  </si>
  <si>
    <t xml:space="preserve">📈 ↑</t>
  </si>
  <si>
    <t xml:space="preserve">Total GST Collected</t>
  </si>
  <si>
    <t xml:space="preserve">Q2 (Jul-Sep)</t>
  </si>
  <si>
    <t xml:space="preserve">+9.4%</t>
  </si>
  <si>
    <t xml:space="preserve">Service Invoice</t>
  </si>
  <si>
    <t xml:space="preserve">27.5%</t>
  </si>
  <si>
    <t xml:space="preserve">Collection Efficiency</t>
  </si>
  <si>
    <t xml:space="preserve">Q3 (Oct-Dec)</t>
  </si>
  <si>
    <t xml:space="preserve">+18.2%</t>
  </si>
  <si>
    <t xml:space="preserve">Retail Billing</t>
  </si>
  <si>
    <t xml:space="preserve">14.6%</t>
  </si>
  <si>
    <t xml:space="preserve">📊 →</t>
  </si>
  <si>
    <t xml:space="preserve">Avg Invoice Value</t>
  </si>
  <si>
    <t xml:space="preserve">Q4 (Jan-Mar)</t>
  </si>
  <si>
    <t xml:space="preserve">+4.1%</t>
  </si>
  <si>
    <t xml:space="preserve">Simple Invoice</t>
  </si>
  <si>
    <t xml:space="preserve">8.4%</t>
  </si>
  <si>
    <t xml:space="preserve">📉 ↓</t>
  </si>
  <si>
    <t xml:space="preserve">Total Expenses</t>
  </si>
  <si>
    <t xml:space="preserve">Proforma</t>
  </si>
  <si>
    <t xml:space="preserve">3.3%</t>
  </si>
  <si>
    <t xml:space="preserve">📌 Dashboard auto-updates from Sales_Data &amp; Customer_Data sheets  |  FY 2025-26  |  Sharma Trading Co.</t>
  </si>
  <si>
    <t xml:space="preserve">RAW SALES DATA — FY 2025-26</t>
  </si>
  <si>
    <t xml:space="preserve">Invoices</t>
  </si>
  <si>
    <t xml:space="preserve">Outstanding</t>
  </si>
  <si>
    <t xml:space="preserve">Expenses</t>
  </si>
  <si>
    <t xml:space="preserve">GST Collected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</si>
  <si>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</si>
  <si>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</si>
  <si>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</si>
  <si>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</si>
  <si>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</si>
  <si>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</si>
  <si>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</si>
  <si>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</si>
  <si>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</si>
  <si>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</si>
  <si>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</si>
  <si>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</si>
  <si>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TOTAL FY</t>
  </si>
  <si>
    <t xml:space="preserve">CUSTOMER MASTER — FY 2025-26</t>
  </si>
  <si>
    <t xml:space="preserve">S.No</t>
  </si>
  <si>
    <t xml:space="preserve">Customer Name</t>
  </si>
  <si>
    <t xml:space="preserve">City</t>
  </si>
  <si>
    <t xml:space="preserve">Total Orders</t>
  </si>
  <si>
    <t xml:space="preserve">Paid (₹)</t>
  </si>
  <si>
    <t xml:space="preserve">Balance (₹)</t>
  </si>
  <si>
    <t xml:space="preserve">NK Construction</t>
  </si>
  <si>
    <t xml:space="preserve">Delhi</t>
  </si>
  <si>
    <t xml:space="preserve">A - Premium</t>
  </si>
  <si>
    <t xml:space="preserve">Gupta Electronics</t>
  </si>
  <si>
    <t xml:space="preserve">Noida</t>
  </si>
  <si>
    <t xml:space="preserve">Mohd Farhan &amp; Sons</t>
  </si>
  <si>
    <t xml:space="preserve">Ghaziabad</t>
  </si>
  <si>
    <t xml:space="preserve">B - Regular</t>
  </si>
  <si>
    <t xml:space="preserve">Infosys BPO Ltd</t>
  </si>
  <si>
    <t xml:space="preserve">Bengaluru</t>
  </si>
  <si>
    <t xml:space="preserve">Sharma Textiles</t>
  </si>
  <si>
    <t xml:space="preserve">Pankaj Auto Parts</t>
  </si>
  <si>
    <t xml:space="preserve">Faridabad</t>
  </si>
  <si>
    <t xml:space="preserve">Bansal Medicals</t>
  </si>
  <si>
    <t xml:space="preserve">Lucknow</t>
  </si>
  <si>
    <t xml:space="preserve">C - Occasional</t>
  </si>
  <si>
    <t xml:space="preserve">Jain Hardware</t>
  </si>
  <si>
    <t xml:space="preserve">Meerut</t>
  </si>
  <si>
    <t xml:space="preserve">Sunita Fashions</t>
  </si>
  <si>
    <t xml:space="preserve">Mohan Infrastructure</t>
  </si>
  <si>
    <t xml:space="preserve">Gurugram</t>
  </si>
  <si>
    <t xml:space="preserve">Raj Automobiles</t>
  </si>
  <si>
    <t xml:space="preserve">Agra</t>
  </si>
  <si>
    <t xml:space="preserve">Priya Pharma</t>
  </si>
  <si>
    <t xml:space="preserve">Kanpur</t>
  </si>
  <si>
    <t xml:space="preserve">TOTALS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</si>
</sst>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E000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0"/>
      <color rgb="FF7030A0"/>
      <name val="Calibri"/>
      <family val="0"/>
      <charset val="1"/>
    </font>
    <font>
      <b val="true"/>
      <sz val="10"/>
      <color rgb="FF538135"/>
      <name val="Calibri"/>
      <family val="0"/>
      <charset val="1"/>
    </font>
    <font>
      <b val="true"/>
      <sz val="10"/>
      <color rgb="FFC55A11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10"/>
      <color rgb="FF88888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2D5A"/>
        <bgColor rgb="FF1F3864"/>
      </patternFill>
    </fill>
    <fill>
      <patternFill patternType="solid">
        <fgColor rgb="FF2C3E6E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538135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1F3864"/>
        <bgColor rgb="FF1F2D5A"/>
      </patternFill>
    </fill>
    <fill>
      <patternFill patternType="solid">
        <fgColor rgb="FFFFFFFF"/>
        <bgColor rgb="FFF9F9F9"/>
      </patternFill>
    </fill>
    <fill>
      <patternFill patternType="solid">
        <fgColor rgb="FFEEF4FB"/>
        <bgColor rgb="FFF5F5F5"/>
      </patternFill>
    </fill>
    <fill>
      <patternFill patternType="solid">
        <fgColor rgb="FFF0E6FF"/>
        <bgColor rgb="FFEEF4FB"/>
      </patternFill>
    </fill>
    <fill>
      <patternFill patternType="solid">
        <fgColor rgb="FFC55A11"/>
        <bgColor rgb="FF993300"/>
      </patternFill>
    </fill>
    <fill>
      <patternFill patternType="solid">
        <fgColor rgb="FFF8F8F8"/>
        <bgColor rgb="FFF9F9F9"/>
      </patternFill>
    </fill>
    <fill>
      <patternFill patternType="solid">
        <fgColor rgb="FFE2EFDA"/>
        <bgColor rgb="FFEEF4FB"/>
      </patternFill>
    </fill>
    <fill>
      <patternFill patternType="solid">
        <fgColor rgb="FFF5F5F5"/>
        <bgColor rgb="FFF8F8F8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7030A0"/>
      <rgbColor rgb="FFFFF2CC"/>
      <rgbColor rgb="FFEE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8F8F8"/>
      <rgbColor rgb="FFF0E6FF"/>
      <rgbColor rgb="FFF9F9F9"/>
      <rgbColor rgb="FFCC99FF"/>
      <rgbColor rgb="FFFCE4D6"/>
      <rgbColor rgb="FF2E75B6"/>
      <rgbColor rgb="FF33CCCC"/>
      <rgbColor rgb="FF70AD47"/>
      <rgbColor rgb="FFFFE000"/>
      <rgbColor rgb="FFFF9900"/>
      <rgbColor rgb="FFC55A11"/>
      <rgbColor rgb="FF595959"/>
      <rgbColor rgb="FF888888"/>
      <rgbColor rgb="FF1F3864"/>
      <rgbColor rgb="FF538135"/>
      <rgbColor rgb="FF003300"/>
      <rgbColor rgb="FF375623"/>
      <rgbColor rgb="FF993300"/>
      <rgbColor rgb="FF993366"/>
      <rgbColor rgb="FF2C3E6E"/>
      <rgbColor rgb="FF1F2D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Collections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DASHBOARD'!C9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DASHBOARD'!$B$10:$B$21</c:f>
              <c:strCache>
                <c:ptCount val="12"/>
                <c:pt idx="0">
                  <c:v>Apr'25</c:v>
                </c:pt>
                <c:pt idx="1">
                  <c:v>May'25</c:v>
                </c:pt>
                <c:pt idx="2">
                  <c:v>Jun'25</c:v>
                </c:pt>
                <c:pt idx="3">
                  <c:v>Jul'25</c:v>
                </c:pt>
                <c:pt idx="4">
                  <c:v>Aug'25</c:v>
                </c:pt>
                <c:pt idx="5">
                  <c:v>Sep'25</c:v>
                </c:pt>
                <c:pt idx="6">
                  <c:v>Oct'25</c:v>
                </c:pt>
                <c:pt idx="7">
                  <c:v>Nov'25</c:v>
                </c:pt>
                <c:pt idx="8">
                  <c:v>Dec'25</c:v>
                </c:pt>
                <c:pt idx="9">
                  <c:v>Jan'26</c:v>
                </c:pt>
                <c:pt idx="10">
                  <c:v>Feb'26</c:v>
                </c:pt>
                <c:pt idx="11">
                  <c:v>Mar'26</c:v>
                </c:pt>
              </c:strCache>
            </c:strRef>
          </c:cat>
          <c:val>
            <c:numRef>
              <c:f>'📊 DASHBOARD'!$C$10:$C$21</c:f>
              <c:numCache>
                <c:formatCode>#,##0</c:formatCode>
                <c:ptCount val="12"/>
                <c:pt idx="0">
                  <c:v>285000</c:v>
                </c:pt>
                <c:pt idx="1">
                  <c:v>312000</c:v>
                </c:pt>
                <c:pt idx="2">
                  <c:v>298000</c:v>
                </c:pt>
                <c:pt idx="3">
                  <c:v>342000</c:v>
                </c:pt>
                <c:pt idx="4">
                  <c:v>318000</c:v>
                </c:pt>
                <c:pt idx="5">
                  <c:v>385000</c:v>
                </c:pt>
                <c:pt idx="6">
                  <c:v>420000</c:v>
                </c:pt>
                <c:pt idx="7">
                  <c:v>465000</c:v>
                </c:pt>
                <c:pt idx="8">
                  <c:v>512000</c:v>
                </c:pt>
                <c:pt idx="9">
                  <c:v>398000</c:v>
                </c:pt>
                <c:pt idx="10">
                  <c:v>432000</c:v>
                </c:pt>
                <c:pt idx="11">
                  <c:v>485000</c:v>
                </c:pt>
              </c:numCache>
            </c:numRef>
          </c:val>
        </c:ser>
        <c:ser>
          <c:idx val="1"/>
          <c:order val="1"/>
          <c:tx>
            <c:strRef>
              <c:f>'📊 DASHBOARD'!D9</c:f>
              <c:strCache>
                <c:ptCount val="1"/>
                <c:pt idx="0">
                  <c:v>Collected (₹)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DASHBOARD'!$B$10:$B$21</c:f>
              <c:strCache>
                <c:ptCount val="12"/>
                <c:pt idx="0">
                  <c:v>Apr'25</c:v>
                </c:pt>
                <c:pt idx="1">
                  <c:v>May'25</c:v>
                </c:pt>
                <c:pt idx="2">
                  <c:v>Jun'25</c:v>
                </c:pt>
                <c:pt idx="3">
                  <c:v>Jul'25</c:v>
                </c:pt>
                <c:pt idx="4">
                  <c:v>Aug'25</c:v>
                </c:pt>
                <c:pt idx="5">
                  <c:v>Sep'25</c:v>
                </c:pt>
                <c:pt idx="6">
                  <c:v>Oct'25</c:v>
                </c:pt>
                <c:pt idx="7">
                  <c:v>Nov'25</c:v>
                </c:pt>
                <c:pt idx="8">
                  <c:v>Dec'25</c:v>
                </c:pt>
                <c:pt idx="9">
                  <c:v>Jan'26</c:v>
                </c:pt>
                <c:pt idx="10">
                  <c:v>Feb'26</c:v>
                </c:pt>
                <c:pt idx="11">
                  <c:v>Mar'26</c:v>
                </c:pt>
              </c:strCache>
            </c:strRef>
          </c:cat>
          <c:val>
            <c:numRef>
              <c:f>'📊 DASHBOARD'!$D$10:$D$21</c:f>
              <c:numCache>
                <c:formatCode>#,##0</c:formatCode>
                <c:ptCount val="12"/>
                <c:pt idx="0">
                  <c:v>260000</c:v>
                </c:pt>
                <c:pt idx="1">
                  <c:v>290000</c:v>
                </c:pt>
                <c:pt idx="2">
                  <c:v>275000</c:v>
                </c:pt>
                <c:pt idx="3">
                  <c:v>320000</c:v>
                </c:pt>
                <c:pt idx="4">
                  <c:v>295000</c:v>
                </c:pt>
                <c:pt idx="5">
                  <c:v>360000</c:v>
                </c:pt>
                <c:pt idx="6">
                  <c:v>395000</c:v>
                </c:pt>
                <c:pt idx="7">
                  <c:v>440000</c:v>
                </c:pt>
                <c:pt idx="8">
                  <c:v>480000</c:v>
                </c:pt>
                <c:pt idx="9">
                  <c:v>370000</c:v>
                </c:pt>
                <c:pt idx="10">
                  <c:v>405000</c:v>
                </c:pt>
                <c:pt idx="11">
                  <c:v>455000</c:v>
                </c:pt>
              </c:numCache>
            </c:numRef>
          </c:val>
        </c:ser>
        <c:gapWidth val="150"/>
        <c:overlap val="0"/>
        <c:axId val="81472168"/>
        <c:axId val="64059340"/>
      </c:barChart>
      <c:catAx>
        <c:axId val="814721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59340"/>
        <c:crosses val="autoZero"/>
        <c:auto val="1"/>
        <c:lblAlgn val="ctr"/>
        <c:lblOffset val="100"/>
        <c:noMultiLvlLbl val="0"/>
      </c:catAx>
      <c:valAx>
        <c:axId val="64059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72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DASHBOARD'!F9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DASHBOARD'!$B$10:$B$21</c:f>
              <c:strCache>
                <c:ptCount val="12"/>
                <c:pt idx="0">
                  <c:v>Apr'25</c:v>
                </c:pt>
                <c:pt idx="1">
                  <c:v>May'25</c:v>
                </c:pt>
                <c:pt idx="2">
                  <c:v>Jun'25</c:v>
                </c:pt>
                <c:pt idx="3">
                  <c:v>Jul'25</c:v>
                </c:pt>
                <c:pt idx="4">
                  <c:v>Aug'25</c:v>
                </c:pt>
                <c:pt idx="5">
                  <c:v>Sep'25</c:v>
                </c:pt>
                <c:pt idx="6">
                  <c:v>Oct'25</c:v>
                </c:pt>
                <c:pt idx="7">
                  <c:v>Nov'25</c:v>
                </c:pt>
                <c:pt idx="8">
                  <c:v>Dec'25</c:v>
                </c:pt>
                <c:pt idx="9">
                  <c:v>Jan'26</c:v>
                </c:pt>
                <c:pt idx="10">
                  <c:v>Feb'26</c:v>
                </c:pt>
                <c:pt idx="11">
                  <c:v>Mar'26</c:v>
                </c:pt>
              </c:strCache>
            </c:strRef>
          </c:cat>
          <c:val>
            <c:numRef>
              <c:f>'📊 DASHBOARD'!$F$10:$F$21</c:f>
              <c:numCache>
                <c:formatCode>#,##0</c:formatCode>
                <c:ptCount val="12"/>
                <c:pt idx="0">
                  <c:v>105000</c:v>
                </c:pt>
                <c:pt idx="1">
                  <c:v>117000</c:v>
                </c:pt>
                <c:pt idx="2">
                  <c:v>110000</c:v>
                </c:pt>
                <c:pt idx="3">
                  <c:v>132000</c:v>
                </c:pt>
                <c:pt idx="4">
                  <c:v>118000</c:v>
                </c:pt>
                <c:pt idx="5">
                  <c:v>150000</c:v>
                </c:pt>
                <c:pt idx="6">
                  <c:v>162000</c:v>
                </c:pt>
                <c:pt idx="7">
                  <c:v>180000</c:v>
                </c:pt>
                <c:pt idx="8">
                  <c:v>197000</c:v>
                </c:pt>
                <c:pt idx="9">
                  <c:v>153000</c:v>
                </c:pt>
                <c:pt idx="10">
                  <c:v>164000</c:v>
                </c:pt>
                <c:pt idx="11">
                  <c:v>187000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995316"/>
        <c:axId val="63845428"/>
      </c:lineChart>
      <c:catAx>
        <c:axId val="749953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45428"/>
        <c:crosses val="autoZero"/>
        <c:auto val="1"/>
        <c:lblAlgn val="ctr"/>
        <c:lblOffset val="100"/>
        <c:noMultiLvlLbl val="0"/>
      </c:catAx>
      <c:valAx>
        <c:axId val="63845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953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7</xdr:col>
      <xdr:colOff>417960</xdr:colOff>
      <xdr:row>52</xdr:row>
      <xdr:rowOff>71640</xdr:rowOff>
    </xdr:to>
    <xdr:graphicFrame>
      <xdr:nvGraphicFramePr>
        <xdr:cNvPr id="0" name="Chart 1"/>
        <xdr:cNvGraphicFramePr/>
      </xdr:nvGraphicFramePr>
      <xdr:xfrm>
        <a:off x="141120" y="71820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14</xdr:col>
      <xdr:colOff>73440</xdr:colOff>
      <xdr:row>48</xdr:row>
      <xdr:rowOff>170640</xdr:rowOff>
    </xdr:to>
    <xdr:graphicFrame>
      <xdr:nvGraphicFramePr>
        <xdr:cNvPr id="1" name="Chart 2"/>
        <xdr:cNvGraphicFramePr/>
      </xdr:nvGraphicFramePr>
      <xdr:xfrm>
        <a:off x="6202800" y="7182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12" min="3" style="0" width="14"/>
    <col collapsed="false" customWidth="true" hidden="false" outlineLevel="0" max="13" min="13" style="0" width="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  <c r="J4" s="7" t="s">
        <v>6</v>
      </c>
      <c r="K4" s="7"/>
    </row>
    <row r="5" customFormat="false" ht="31.5" hidden="false" customHeight="true" outlineLevel="0" collapsed="false">
      <c r="B5" s="8" t="s">
        <v>7</v>
      </c>
      <c r="C5" s="8"/>
      <c r="D5" s="9" t="s">
        <v>8</v>
      </c>
      <c r="E5" s="9"/>
      <c r="F5" s="10" t="s">
        <v>9</v>
      </c>
      <c r="G5" s="10"/>
      <c r="H5" s="11" t="s">
        <v>10</v>
      </c>
      <c r="I5" s="11"/>
      <c r="J5" s="12" t="s">
        <v>11</v>
      </c>
      <c r="K5" s="12"/>
    </row>
    <row r="6" customFormat="false" ht="18" hidden="false" customHeight="true" outlineLevel="0" collapsed="false">
      <c r="B6" s="13" t="s">
        <v>12</v>
      </c>
      <c r="C6" s="13"/>
      <c r="D6" s="14" t="s">
        <v>13</v>
      </c>
      <c r="E6" s="14"/>
      <c r="F6" s="15" t="s">
        <v>14</v>
      </c>
      <c r="G6" s="15"/>
      <c r="H6" s="16" t="s">
        <v>15</v>
      </c>
      <c r="I6" s="16"/>
      <c r="J6" s="17" t="s">
        <v>16</v>
      </c>
      <c r="K6" s="17"/>
    </row>
    <row r="7" customFormat="false" ht="7.5" hidden="false" customHeight="true" outlineLevel="0" collapsed="false"/>
    <row r="8" customFormat="false" ht="24" hidden="false" customHeight="true" outlineLevel="0" collapsed="false">
      <c r="B8" s="18" t="s">
        <v>17</v>
      </c>
      <c r="C8" s="18"/>
      <c r="D8" s="18"/>
      <c r="E8" s="18"/>
      <c r="F8" s="18"/>
      <c r="H8" s="19" t="s">
        <v>18</v>
      </c>
      <c r="I8" s="19"/>
      <c r="J8" s="19"/>
      <c r="K8" s="19"/>
      <c r="L8" s="19"/>
      <c r="M8" s="19"/>
    </row>
    <row r="9" customFormat="false" ht="19.5" hidden="false" customHeight="true" outlineLevel="0" collapsed="false">
      <c r="B9" s="20" t="s">
        <v>19</v>
      </c>
      <c r="C9" s="20" t="s">
        <v>20</v>
      </c>
      <c r="D9" s="20" t="s">
        <v>21</v>
      </c>
      <c r="E9" s="20" t="s">
        <v>22</v>
      </c>
      <c r="F9" s="20" t="s">
        <v>23</v>
      </c>
      <c r="H9" s="21" t="s">
        <v>24</v>
      </c>
      <c r="I9" s="21" t="s">
        <v>25</v>
      </c>
      <c r="J9" s="21" t="s">
        <v>26</v>
      </c>
      <c r="K9" s="21" t="s">
        <v>27</v>
      </c>
      <c r="L9" s="21" t="s">
        <v>28</v>
      </c>
      <c r="M9" s="21" t="s">
        <v>29</v>
      </c>
    </row>
    <row r="10" customFormat="false" ht="16.5" hidden="false" customHeight="true" outlineLevel="0" collapsed="false">
      <c r="B10" s="22" t="s">
        <v>30</v>
      </c>
      <c r="C10" s="23" t="n">
        <f aca="false">Sales_Data!C4</f>
        <v>285000</v>
      </c>
      <c r="D10" s="23" t="n">
        <f aca="false">Sales_Data!D4</f>
        <v>260000</v>
      </c>
      <c r="E10" s="23" t="n">
        <f aca="false">Sales_Data!E4</f>
        <v>25000</v>
      </c>
      <c r="F10" s="23" t="n">
        <f aca="false">Sales_Data!G4</f>
        <v>105000</v>
      </c>
      <c r="H10" s="24" t="s">
        <v>31</v>
      </c>
      <c r="I10" s="25" t="str">
        <f aca="false">Customer_Data!B4</f>
        <v>NK Construction</v>
      </c>
      <c r="J10" s="23" t="n">
        <f aca="false">Customer_Data!E4</f>
        <v>685000</v>
      </c>
      <c r="K10" s="23" t="n">
        <f aca="false">Customer_Data!F4</f>
        <v>620000</v>
      </c>
      <c r="L10" s="23" t="n">
        <f aca="false">Customer_Data!G4</f>
        <v>65000</v>
      </c>
      <c r="M10" s="22" t="str">
        <f aca="false">Customer_Data!H4</f>
        <v>A - Premium</v>
      </c>
    </row>
    <row r="11" customFormat="false" ht="16.5" hidden="false" customHeight="true" outlineLevel="0" collapsed="false">
      <c r="B11" s="26" t="s">
        <v>32</v>
      </c>
      <c r="C11" s="27" t="n">
        <f aca="false">Sales_Data!C5</f>
        <v>312000</v>
      </c>
      <c r="D11" s="27" t="n">
        <f aca="false">Sales_Data!D5</f>
        <v>290000</v>
      </c>
      <c r="E11" s="27" t="n">
        <f aca="false">Sales_Data!E5</f>
        <v>22000</v>
      </c>
      <c r="F11" s="27" t="n">
        <f aca="false">Sales_Data!G5</f>
        <v>117000</v>
      </c>
      <c r="H11" s="28" t="s">
        <v>33</v>
      </c>
      <c r="I11" s="29" t="str">
        <f aca="false">Customer_Data!B5</f>
        <v>Gupta Electronics</v>
      </c>
      <c r="J11" s="30" t="n">
        <f aca="false">Customer_Data!E5</f>
        <v>542000</v>
      </c>
      <c r="K11" s="30" t="n">
        <f aca="false">Customer_Data!F5</f>
        <v>542000</v>
      </c>
      <c r="L11" s="30" t="n">
        <f aca="false">Customer_Data!G5</f>
        <v>0</v>
      </c>
      <c r="M11" s="31" t="str">
        <f aca="false">Customer_Data!H5</f>
        <v>A - Premium</v>
      </c>
    </row>
    <row r="12" customFormat="false" ht="16.5" hidden="false" customHeight="true" outlineLevel="0" collapsed="false">
      <c r="B12" s="22" t="s">
        <v>34</v>
      </c>
      <c r="C12" s="23" t="n">
        <f aca="false">Sales_Data!C6</f>
        <v>298000</v>
      </c>
      <c r="D12" s="23" t="n">
        <f aca="false">Sales_Data!D6</f>
        <v>275000</v>
      </c>
      <c r="E12" s="23" t="n">
        <f aca="false">Sales_Data!E6</f>
        <v>23000</v>
      </c>
      <c r="F12" s="23" t="n">
        <f aca="false">Sales_Data!G6</f>
        <v>110000</v>
      </c>
      <c r="H12" s="24" t="s">
        <v>35</v>
      </c>
      <c r="I12" s="25" t="str">
        <f aca="false">Customer_Data!B6</f>
        <v>Mohd Farhan &amp; Sons</v>
      </c>
      <c r="J12" s="23" t="n">
        <f aca="false">Customer_Data!E6</f>
        <v>428000</v>
      </c>
      <c r="K12" s="23" t="n">
        <f aca="false">Customer_Data!F6</f>
        <v>385000</v>
      </c>
      <c r="L12" s="23" t="n">
        <f aca="false">Customer_Data!G6</f>
        <v>43000</v>
      </c>
      <c r="M12" s="22" t="str">
        <f aca="false">Customer_Data!H6</f>
        <v>B - Regular</v>
      </c>
    </row>
    <row r="13" customFormat="false" ht="16.5" hidden="false" customHeight="true" outlineLevel="0" collapsed="false">
      <c r="B13" s="26" t="s">
        <v>36</v>
      </c>
      <c r="C13" s="27" t="n">
        <f aca="false">Sales_Data!C7</f>
        <v>342000</v>
      </c>
      <c r="D13" s="27" t="n">
        <f aca="false">Sales_Data!D7</f>
        <v>320000</v>
      </c>
      <c r="E13" s="27" t="n">
        <f aca="false">Sales_Data!E7</f>
        <v>22000</v>
      </c>
      <c r="F13" s="27" t="n">
        <f aca="false">Sales_Data!G7</f>
        <v>132000</v>
      </c>
      <c r="H13" s="31" t="s">
        <v>37</v>
      </c>
      <c r="I13" s="29" t="str">
        <f aca="false">Customer_Data!B7</f>
        <v>Infosys BPO Ltd</v>
      </c>
      <c r="J13" s="30" t="n">
        <f aca="false">Customer_Data!E7</f>
        <v>398000</v>
      </c>
      <c r="K13" s="30" t="n">
        <f aca="false">Customer_Data!F7</f>
        <v>398000</v>
      </c>
      <c r="L13" s="30" t="n">
        <f aca="false">Customer_Data!G7</f>
        <v>0</v>
      </c>
      <c r="M13" s="31" t="str">
        <f aca="false">Customer_Data!H7</f>
        <v>A - Premium</v>
      </c>
    </row>
    <row r="14" customFormat="false" ht="16.5" hidden="false" customHeight="true" outlineLevel="0" collapsed="false">
      <c r="B14" s="22" t="s">
        <v>38</v>
      </c>
      <c r="C14" s="23" t="n">
        <f aca="false">Sales_Data!C8</f>
        <v>318000</v>
      </c>
      <c r="D14" s="23" t="n">
        <f aca="false">Sales_Data!D8</f>
        <v>295000</v>
      </c>
      <c r="E14" s="23" t="n">
        <f aca="false">Sales_Data!E8</f>
        <v>23000</v>
      </c>
      <c r="F14" s="23" t="n">
        <f aca="false">Sales_Data!G8</f>
        <v>118000</v>
      </c>
      <c r="H14" s="22" t="s">
        <v>39</v>
      </c>
      <c r="I14" s="25" t="str">
        <f aca="false">Customer_Data!B8</f>
        <v>Sharma Textiles</v>
      </c>
      <c r="J14" s="23" t="n">
        <f aca="false">Customer_Data!E8</f>
        <v>312000</v>
      </c>
      <c r="K14" s="23" t="n">
        <f aca="false">Customer_Data!F8</f>
        <v>280000</v>
      </c>
      <c r="L14" s="23" t="n">
        <f aca="false">Customer_Data!G8</f>
        <v>32000</v>
      </c>
      <c r="M14" s="22" t="str">
        <f aca="false">Customer_Data!H8</f>
        <v>B - Regular</v>
      </c>
    </row>
    <row r="15" customFormat="false" ht="16.5" hidden="false" customHeight="true" outlineLevel="0" collapsed="false">
      <c r="B15" s="26" t="s">
        <v>40</v>
      </c>
      <c r="C15" s="27" t="n">
        <f aca="false">Sales_Data!C9</f>
        <v>385000</v>
      </c>
      <c r="D15" s="27" t="n">
        <f aca="false">Sales_Data!D9</f>
        <v>360000</v>
      </c>
      <c r="E15" s="27" t="n">
        <f aca="false">Sales_Data!E9</f>
        <v>25000</v>
      </c>
      <c r="F15" s="27" t="n">
        <f aca="false">Sales_Data!G9</f>
        <v>150000</v>
      </c>
      <c r="H15" s="31" t="s">
        <v>41</v>
      </c>
      <c r="I15" s="29" t="str">
        <f aca="false">Customer_Data!B9</f>
        <v>Pankaj Auto Parts</v>
      </c>
      <c r="J15" s="30" t="n">
        <f aca="false">Customer_Data!E9</f>
        <v>298000</v>
      </c>
      <c r="K15" s="30" t="n">
        <f aca="false">Customer_Data!F9</f>
        <v>298000</v>
      </c>
      <c r="L15" s="30" t="n">
        <f aca="false">Customer_Data!G9</f>
        <v>0</v>
      </c>
      <c r="M15" s="31" t="str">
        <f aca="false">Customer_Data!H9</f>
        <v>B - Regular</v>
      </c>
    </row>
    <row r="16" customFormat="false" ht="16.5" hidden="false" customHeight="true" outlineLevel="0" collapsed="false">
      <c r="B16" s="22" t="s">
        <v>42</v>
      </c>
      <c r="C16" s="23" t="n">
        <f aca="false">Sales_Data!C10</f>
        <v>420000</v>
      </c>
      <c r="D16" s="23" t="n">
        <f aca="false">Sales_Data!D10</f>
        <v>395000</v>
      </c>
      <c r="E16" s="23" t="n">
        <f aca="false">Sales_Data!E10</f>
        <v>25000</v>
      </c>
      <c r="F16" s="23" t="n">
        <f aca="false">Sales_Data!G10</f>
        <v>162000</v>
      </c>
      <c r="H16" s="22" t="s">
        <v>43</v>
      </c>
      <c r="I16" s="25" t="str">
        <f aca="false">Customer_Data!B10</f>
        <v>Bansal Medicals</v>
      </c>
      <c r="J16" s="23" t="n">
        <f aca="false">Customer_Data!E10</f>
        <v>245000</v>
      </c>
      <c r="K16" s="23" t="n">
        <f aca="false">Customer_Data!F10</f>
        <v>215000</v>
      </c>
      <c r="L16" s="23" t="n">
        <f aca="false">Customer_Data!G10</f>
        <v>30000</v>
      </c>
      <c r="M16" s="22" t="str">
        <f aca="false">Customer_Data!H10</f>
        <v>C - Occasional</v>
      </c>
    </row>
    <row r="17" customFormat="false" ht="16.5" hidden="false" customHeight="true" outlineLevel="0" collapsed="false">
      <c r="B17" s="26" t="s">
        <v>44</v>
      </c>
      <c r="C17" s="27" t="n">
        <f aca="false">Sales_Data!C11</f>
        <v>465000</v>
      </c>
      <c r="D17" s="27" t="n">
        <f aca="false">Sales_Data!D11</f>
        <v>440000</v>
      </c>
      <c r="E17" s="27" t="n">
        <f aca="false">Sales_Data!E11</f>
        <v>25000</v>
      </c>
      <c r="F17" s="27" t="n">
        <f aca="false">Sales_Data!G11</f>
        <v>180000</v>
      </c>
      <c r="H17" s="31" t="s">
        <v>45</v>
      </c>
      <c r="I17" s="29" t="str">
        <f aca="false">Customer_Data!B11</f>
        <v>Jain Hardware</v>
      </c>
      <c r="J17" s="30" t="n">
        <f aca="false">Customer_Data!E11</f>
        <v>218000</v>
      </c>
      <c r="K17" s="30" t="n">
        <f aca="false">Customer_Data!F11</f>
        <v>218000</v>
      </c>
      <c r="L17" s="30" t="n">
        <f aca="false">Customer_Data!G11</f>
        <v>0</v>
      </c>
      <c r="M17" s="31" t="str">
        <f aca="false">Customer_Data!H11</f>
        <v>B - Regular</v>
      </c>
    </row>
    <row r="18" customFormat="false" ht="16.5" hidden="false" customHeight="true" outlineLevel="0" collapsed="false">
      <c r="B18" s="22" t="s">
        <v>46</v>
      </c>
      <c r="C18" s="23" t="n">
        <f aca="false">Sales_Data!C12</f>
        <v>512000</v>
      </c>
      <c r="D18" s="23" t="n">
        <f aca="false">Sales_Data!D12</f>
        <v>480000</v>
      </c>
      <c r="E18" s="23" t="n">
        <f aca="false">Sales_Data!E12</f>
        <v>32000</v>
      </c>
      <c r="F18" s="23" t="n">
        <f aca="false">Sales_Data!G12</f>
        <v>197000</v>
      </c>
      <c r="H18" s="22" t="s">
        <v>47</v>
      </c>
      <c r="I18" s="25" t="str">
        <f aca="false">Customer_Data!B12</f>
        <v>Sunita Fashions</v>
      </c>
      <c r="J18" s="23" t="n">
        <f aca="false">Customer_Data!E12</f>
        <v>185000</v>
      </c>
      <c r="K18" s="23" t="n">
        <f aca="false">Customer_Data!F12</f>
        <v>150000</v>
      </c>
      <c r="L18" s="23" t="n">
        <f aca="false">Customer_Data!G12</f>
        <v>35000</v>
      </c>
      <c r="M18" s="22" t="str">
        <f aca="false">Customer_Data!H12</f>
        <v>C - Occasional</v>
      </c>
    </row>
    <row r="19" customFormat="false" ht="16.5" hidden="false" customHeight="true" outlineLevel="0" collapsed="false">
      <c r="B19" s="26" t="s">
        <v>48</v>
      </c>
      <c r="C19" s="27" t="n">
        <f aca="false">Sales_Data!C13</f>
        <v>398000</v>
      </c>
      <c r="D19" s="27" t="n">
        <f aca="false">Sales_Data!D13</f>
        <v>370000</v>
      </c>
      <c r="E19" s="27" t="n">
        <f aca="false">Sales_Data!E13</f>
        <v>28000</v>
      </c>
      <c r="F19" s="27" t="n">
        <f aca="false">Sales_Data!G13</f>
        <v>153000</v>
      </c>
      <c r="H19" s="31" t="s">
        <v>49</v>
      </c>
      <c r="I19" s="29" t="str">
        <f aca="false">Customer_Data!B13</f>
        <v>Mohan Infrastructure</v>
      </c>
      <c r="J19" s="30" t="n">
        <f aca="false">Customer_Data!E13</f>
        <v>165000</v>
      </c>
      <c r="K19" s="30" t="n">
        <f aca="false">Customer_Data!F13</f>
        <v>165000</v>
      </c>
      <c r="L19" s="30" t="n">
        <f aca="false">Customer_Data!G13</f>
        <v>0</v>
      </c>
      <c r="M19" s="31" t="str">
        <f aca="false">Customer_Data!H13</f>
        <v>B - Regular</v>
      </c>
    </row>
    <row r="20" customFormat="false" ht="7.5" hidden="false" customHeight="true" outlineLevel="0" collapsed="false">
      <c r="B20" s="22" t="s">
        <v>50</v>
      </c>
      <c r="C20" s="23" t="n">
        <f aca="false">Sales_Data!C14</f>
        <v>432000</v>
      </c>
      <c r="D20" s="23" t="n">
        <f aca="false">Sales_Data!D14</f>
        <v>405000</v>
      </c>
      <c r="E20" s="23" t="n">
        <f aca="false">Sales_Data!E14</f>
        <v>27000</v>
      </c>
      <c r="F20" s="23" t="n">
        <f aca="false">Sales_Data!G14</f>
        <v>164000</v>
      </c>
    </row>
    <row r="21" customFormat="false" ht="16.5" hidden="false" customHeight="true" outlineLevel="0" collapsed="false">
      <c r="B21" s="32" t="s">
        <v>51</v>
      </c>
      <c r="C21" s="27" t="n">
        <f aca="false">Sales_Data!C15</f>
        <v>485000</v>
      </c>
      <c r="D21" s="27" t="n">
        <f aca="false">Sales_Data!D15</f>
        <v>455000</v>
      </c>
      <c r="E21" s="27" t="n">
        <f aca="false">Sales_Data!E15</f>
        <v>30000</v>
      </c>
      <c r="F21" s="27" t="n">
        <f aca="false">Sales_Data!G15</f>
        <v>187000</v>
      </c>
    </row>
    <row r="22" customFormat="false" ht="21.75" hidden="false" customHeight="true" outlineLevel="0" collapsed="false">
      <c r="B22" s="33" t="s">
        <v>52</v>
      </c>
      <c r="C22" s="34" t="n">
        <f aca="false">SUM(C10:C21)</f>
        <v>4652000</v>
      </c>
      <c r="D22" s="34" t="n">
        <f aca="false">SUM(D10:D21)</f>
        <v>4345000</v>
      </c>
      <c r="E22" s="34" t="n">
        <f aca="false">SUM(E10:E21)</f>
        <v>307000</v>
      </c>
      <c r="F22" s="34" t="n">
        <f aca="false">SUM(F10:F21)</f>
        <v>1775000</v>
      </c>
    </row>
    <row r="23" customFormat="false" ht="24" hidden="false" customHeight="true" outlineLevel="0" collapsed="false">
      <c r="B23" s="35" t="s">
        <v>53</v>
      </c>
      <c r="C23" s="35"/>
      <c r="D23" s="35"/>
      <c r="E23" s="35"/>
      <c r="F23" s="18" t="s">
        <v>54</v>
      </c>
      <c r="G23" s="18"/>
      <c r="H23" s="18"/>
      <c r="I23" s="18"/>
      <c r="J23" s="36" t="s">
        <v>55</v>
      </c>
      <c r="K23" s="36"/>
      <c r="L23" s="36"/>
      <c r="M23" s="36"/>
    </row>
    <row r="24" customFormat="false" ht="19.5" hidden="false" customHeight="true" outlineLevel="0" collapsed="false">
      <c r="B24" s="37" t="s">
        <v>56</v>
      </c>
      <c r="C24" s="38" t="n">
        <f aca="false">Sales_Data!C16/12</f>
        <v>387666.666666667</v>
      </c>
      <c r="D24" s="38"/>
      <c r="F24" s="39" t="s">
        <v>57</v>
      </c>
      <c r="G24" s="39" t="s">
        <v>26</v>
      </c>
      <c r="H24" s="39" t="s">
        <v>58</v>
      </c>
      <c r="I24" s="39" t="s">
        <v>59</v>
      </c>
      <c r="J24" s="40" t="s">
        <v>60</v>
      </c>
      <c r="K24" s="40" t="s">
        <v>26</v>
      </c>
      <c r="L24" s="40" t="s">
        <v>61</v>
      </c>
      <c r="M24" s="40" t="s">
        <v>62</v>
      </c>
    </row>
    <row r="25" customFormat="false" ht="19.5" hidden="false" customHeight="true" outlineLevel="0" collapsed="false">
      <c r="B25" s="41" t="s">
        <v>63</v>
      </c>
      <c r="C25" s="42" t="n">
        <f aca="false">MAX(Sales_Data!C4:C15)</f>
        <v>512000</v>
      </c>
      <c r="D25" s="42"/>
      <c r="F25" s="43" t="s">
        <v>64</v>
      </c>
      <c r="G25" s="23" t="n">
        <f aca="false">SUM(Sales_Data!C4:C6)</f>
        <v>895000</v>
      </c>
      <c r="H25" s="23" t="n">
        <f aca="false">SUM(Sales_Data!G4:G6)</f>
        <v>332000</v>
      </c>
      <c r="I25" s="44" t="s">
        <v>65</v>
      </c>
      <c r="J25" s="25" t="s">
        <v>66</v>
      </c>
      <c r="K25" s="23" t="n">
        <v>2150000</v>
      </c>
      <c r="L25" s="24" t="s">
        <v>67</v>
      </c>
      <c r="M25" s="22" t="s">
        <v>68</v>
      </c>
    </row>
    <row r="26" customFormat="false" ht="19.5" hidden="false" customHeight="true" outlineLevel="0" collapsed="false">
      <c r="B26" s="45" t="s">
        <v>69</v>
      </c>
      <c r="C26" s="46" t="n">
        <f aca="false">Sales_Data!H16</f>
        <v>837360</v>
      </c>
      <c r="D26" s="46"/>
      <c r="F26" s="47" t="s">
        <v>70</v>
      </c>
      <c r="G26" s="27" t="n">
        <f aca="false">SUM(Sales_Data!C7:C9)</f>
        <v>1045000</v>
      </c>
      <c r="H26" s="27" t="n">
        <f aca="false">SUM(Sales_Data!G7:G9)</f>
        <v>400000</v>
      </c>
      <c r="I26" s="48" t="s">
        <v>71</v>
      </c>
      <c r="J26" s="49" t="s">
        <v>72</v>
      </c>
      <c r="K26" s="50" t="n">
        <v>1280000</v>
      </c>
      <c r="L26" s="51" t="s">
        <v>73</v>
      </c>
      <c r="M26" s="52" t="s">
        <v>68</v>
      </c>
    </row>
    <row r="27" customFormat="false" ht="19.5" hidden="false" customHeight="true" outlineLevel="0" collapsed="false">
      <c r="B27" s="53" t="s">
        <v>74</v>
      </c>
      <c r="C27" s="54" t="n">
        <f aca="false">Sales_Data!D16/Sales_Data!C16</f>
        <v>0.934006878761823</v>
      </c>
      <c r="D27" s="54"/>
      <c r="F27" s="43" t="s">
        <v>75</v>
      </c>
      <c r="G27" s="23" t="n">
        <f aca="false">SUM(Sales_Data!C10:C12)</f>
        <v>1397000</v>
      </c>
      <c r="H27" s="23" t="n">
        <f aca="false">SUM(Sales_Data!G10:G12)</f>
        <v>539000</v>
      </c>
      <c r="I27" s="55" t="s">
        <v>76</v>
      </c>
      <c r="J27" s="25" t="s">
        <v>77</v>
      </c>
      <c r="K27" s="23" t="n">
        <v>680000</v>
      </c>
      <c r="L27" s="24" t="s">
        <v>78</v>
      </c>
      <c r="M27" s="22" t="s">
        <v>79</v>
      </c>
    </row>
    <row r="28" customFormat="false" ht="19.5" hidden="false" customHeight="true" outlineLevel="0" collapsed="false">
      <c r="B28" s="56" t="s">
        <v>80</v>
      </c>
      <c r="C28" s="57" t="n">
        <f aca="false">Sales_Data!C16/Sales_Data!B16</f>
        <v>9157.48031496063</v>
      </c>
      <c r="D28" s="57"/>
      <c r="F28" s="47" t="s">
        <v>81</v>
      </c>
      <c r="G28" s="27" t="n">
        <f aca="false">SUM(Sales_Data!C13:C15)</f>
        <v>1315000</v>
      </c>
      <c r="H28" s="27" t="n">
        <f aca="false">SUM(Sales_Data!G13:G15)</f>
        <v>504000</v>
      </c>
      <c r="I28" s="48" t="s">
        <v>82</v>
      </c>
      <c r="J28" s="49" t="s">
        <v>83</v>
      </c>
      <c r="K28" s="50" t="n">
        <v>390000</v>
      </c>
      <c r="L28" s="51" t="s">
        <v>84</v>
      </c>
      <c r="M28" s="52" t="s">
        <v>85</v>
      </c>
    </row>
    <row r="29" customFormat="false" ht="19.5" hidden="false" customHeight="true" outlineLevel="0" collapsed="false">
      <c r="B29" s="58" t="s">
        <v>86</v>
      </c>
      <c r="C29" s="59" t="n">
        <f aca="false">Sales_Data!F16</f>
        <v>2877000</v>
      </c>
      <c r="D29" s="59"/>
      <c r="J29" s="25" t="s">
        <v>87</v>
      </c>
      <c r="K29" s="23" t="n">
        <v>152000</v>
      </c>
      <c r="L29" s="24" t="s">
        <v>88</v>
      </c>
      <c r="M29" s="22" t="s">
        <v>68</v>
      </c>
    </row>
    <row r="50" customFormat="false" ht="19.5" hidden="false" customHeight="true" outlineLevel="0" collapsed="false">
      <c r="A50" s="60" t="s">
        <v>89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</row>
  </sheetData>
  <mergeCells count="29">
    <mergeCell ref="A1:M1"/>
    <mergeCell ref="A2:M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F8"/>
    <mergeCell ref="H8:M8"/>
    <mergeCell ref="B23:E23"/>
    <mergeCell ref="F23:I23"/>
    <mergeCell ref="J23:M23"/>
    <mergeCell ref="C24:D24"/>
    <mergeCell ref="C25:D25"/>
    <mergeCell ref="C26:D26"/>
    <mergeCell ref="C27:D27"/>
    <mergeCell ref="C28:D28"/>
    <mergeCell ref="C29:D29"/>
    <mergeCell ref="A50:M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8" min="3" style="0" width="16"/>
  </cols>
  <sheetData>
    <row r="1" customFormat="false" ht="34.5" hidden="false" customHeight="true" outlineLevel="0" collapsed="false">
      <c r="A1" s="61" t="s">
        <v>90</v>
      </c>
      <c r="B1" s="61"/>
      <c r="C1" s="61"/>
      <c r="D1" s="61"/>
      <c r="E1" s="61"/>
      <c r="F1" s="61"/>
      <c r="G1" s="61"/>
      <c r="H1" s="61"/>
    </row>
    <row r="3" customFormat="false" ht="21.75" hidden="false" customHeight="true" outlineLevel="0" collapsed="false">
      <c r="A3" s="62" t="s">
        <v>19</v>
      </c>
      <c r="B3" s="62" t="s">
        <v>91</v>
      </c>
      <c r="C3" s="62" t="s">
        <v>26</v>
      </c>
      <c r="D3" s="62" t="s">
        <v>27</v>
      </c>
      <c r="E3" s="62" t="s">
        <v>92</v>
      </c>
      <c r="F3" s="62" t="s">
        <v>93</v>
      </c>
      <c r="G3" s="62" t="s">
        <v>58</v>
      </c>
      <c r="H3" s="62" t="s">
        <v>94</v>
      </c>
    </row>
    <row r="4" customFormat="false" ht="18" hidden="false" customHeight="true" outlineLevel="0" collapsed="false">
      <c r="A4" s="22" t="s">
        <v>95</v>
      </c>
      <c r="B4" s="23" t="n">
        <v>32</v>
      </c>
      <c r="C4" s="23" t="n">
        <v>285000</v>
      </c>
      <c r="D4" s="23" t="n">
        <v>260000</v>
      </c>
      <c r="E4" s="23" t="n">
        <v>25000</v>
      </c>
      <c r="F4" s="23" t="n">
        <v>180000</v>
      </c>
      <c r="G4" s="23" t="n">
        <v>105000</v>
      </c>
      <c r="H4" s="23" t="n">
        <v>51300</v>
      </c>
    </row>
    <row r="5" customFormat="false" ht="18" hidden="false" customHeight="true" outlineLevel="0" collapsed="false">
      <c r="A5" s="63" t="s">
        <v>96</v>
      </c>
      <c r="B5" s="64" t="n">
        <v>35</v>
      </c>
      <c r="C5" s="64" t="n">
        <v>312000</v>
      </c>
      <c r="D5" s="64" t="n">
        <v>290000</v>
      </c>
      <c r="E5" s="64" t="n">
        <v>22000</v>
      </c>
      <c r="F5" s="64" t="n">
        <v>195000</v>
      </c>
      <c r="G5" s="64" t="n">
        <v>117000</v>
      </c>
      <c r="H5" s="64" t="n">
        <v>56160</v>
      </c>
    </row>
    <row r="6" customFormat="false" ht="18" hidden="false" customHeight="true" outlineLevel="0" collapsed="false">
      <c r="A6" s="22" t="s">
        <v>97</v>
      </c>
      <c r="B6" s="23" t="n">
        <v>38</v>
      </c>
      <c r="C6" s="23" t="n">
        <v>298000</v>
      </c>
      <c r="D6" s="23" t="n">
        <v>275000</v>
      </c>
      <c r="E6" s="23" t="n">
        <v>23000</v>
      </c>
      <c r="F6" s="23" t="n">
        <v>188000</v>
      </c>
      <c r="G6" s="23" t="n">
        <v>110000</v>
      </c>
      <c r="H6" s="23" t="n">
        <v>53640</v>
      </c>
    </row>
    <row r="7" customFormat="false" ht="18" hidden="false" customHeight="true" outlineLevel="0" collapsed="false">
      <c r="A7" s="63" t="s">
        <v>98</v>
      </c>
      <c r="B7" s="64" t="n">
        <v>40</v>
      </c>
      <c r="C7" s="64" t="n">
        <v>342000</v>
      </c>
      <c r="D7" s="64" t="n">
        <v>320000</v>
      </c>
      <c r="E7" s="64" t="n">
        <v>22000</v>
      </c>
      <c r="F7" s="64" t="n">
        <v>210000</v>
      </c>
      <c r="G7" s="64" t="n">
        <v>132000</v>
      </c>
      <c r="H7" s="64" t="n">
        <v>61560</v>
      </c>
    </row>
    <row r="8" customFormat="false" ht="18" hidden="false" customHeight="true" outlineLevel="0" collapsed="false">
      <c r="A8" s="22" t="s">
        <v>99</v>
      </c>
      <c r="B8" s="23" t="n">
        <v>36</v>
      </c>
      <c r="C8" s="23" t="n">
        <v>318000</v>
      </c>
      <c r="D8" s="23" t="n">
        <v>295000</v>
      </c>
      <c r="E8" s="23" t="n">
        <v>23000</v>
      </c>
      <c r="F8" s="23" t="n">
        <v>200000</v>
      </c>
      <c r="G8" s="23" t="n">
        <v>118000</v>
      </c>
      <c r="H8" s="23" t="n">
        <v>57240</v>
      </c>
    </row>
    <row r="9" customFormat="false" ht="18" hidden="false" customHeight="true" outlineLevel="0" collapsed="false">
      <c r="A9" s="63" t="s">
        <v>100</v>
      </c>
      <c r="B9" s="64" t="n">
        <v>42</v>
      </c>
      <c r="C9" s="64" t="n">
        <v>385000</v>
      </c>
      <c r="D9" s="64" t="n">
        <v>360000</v>
      </c>
      <c r="E9" s="64" t="n">
        <v>25000</v>
      </c>
      <c r="F9" s="64" t="n">
        <v>235000</v>
      </c>
      <c r="G9" s="64" t="n">
        <v>150000</v>
      </c>
      <c r="H9" s="64" t="n">
        <v>69300</v>
      </c>
    </row>
    <row r="10" customFormat="false" ht="18" hidden="false" customHeight="true" outlineLevel="0" collapsed="false">
      <c r="A10" s="22" t="s">
        <v>101</v>
      </c>
      <c r="B10" s="23" t="n">
        <v>45</v>
      </c>
      <c r="C10" s="23" t="n">
        <v>420000</v>
      </c>
      <c r="D10" s="23" t="n">
        <v>395000</v>
      </c>
      <c r="E10" s="23" t="n">
        <v>25000</v>
      </c>
      <c r="F10" s="23" t="n">
        <v>258000</v>
      </c>
      <c r="G10" s="23" t="n">
        <v>162000</v>
      </c>
      <c r="H10" s="23" t="n">
        <v>75600</v>
      </c>
    </row>
    <row r="11" customFormat="false" ht="18" hidden="false" customHeight="true" outlineLevel="0" collapsed="false">
      <c r="A11" s="63" t="s">
        <v>102</v>
      </c>
      <c r="B11" s="64" t="n">
        <v>48</v>
      </c>
      <c r="C11" s="64" t="n">
        <v>465000</v>
      </c>
      <c r="D11" s="64" t="n">
        <v>440000</v>
      </c>
      <c r="E11" s="64" t="n">
        <v>25000</v>
      </c>
      <c r="F11" s="64" t="n">
        <v>285000</v>
      </c>
      <c r="G11" s="64" t="n">
        <v>180000</v>
      </c>
      <c r="H11" s="64" t="n">
        <v>83700</v>
      </c>
    </row>
    <row r="12" customFormat="false" ht="18" hidden="false" customHeight="true" outlineLevel="0" collapsed="false">
      <c r="A12" s="22" t="s">
        <v>103</v>
      </c>
      <c r="B12" s="23" t="n">
        <v>52</v>
      </c>
      <c r="C12" s="23" t="n">
        <v>512000</v>
      </c>
      <c r="D12" s="23" t="n">
        <v>480000</v>
      </c>
      <c r="E12" s="23" t="n">
        <v>32000</v>
      </c>
      <c r="F12" s="23" t="n">
        <v>315000</v>
      </c>
      <c r="G12" s="23" t="n">
        <v>197000</v>
      </c>
      <c r="H12" s="23" t="n">
        <v>92160</v>
      </c>
    </row>
    <row r="13" customFormat="false" ht="18" hidden="false" customHeight="true" outlineLevel="0" collapsed="false">
      <c r="A13" s="63" t="s">
        <v>104</v>
      </c>
      <c r="B13" s="64" t="n">
        <v>44</v>
      </c>
      <c r="C13" s="64" t="n">
        <v>398000</v>
      </c>
      <c r="D13" s="64" t="n">
        <v>370000</v>
      </c>
      <c r="E13" s="64" t="n">
        <v>28000</v>
      </c>
      <c r="F13" s="64" t="n">
        <v>245000</v>
      </c>
      <c r="G13" s="64" t="n">
        <v>153000</v>
      </c>
      <c r="H13" s="64" t="n">
        <v>71640</v>
      </c>
    </row>
    <row r="14" customFormat="false" ht="18" hidden="false" customHeight="true" outlineLevel="0" collapsed="false">
      <c r="A14" s="22" t="s">
        <v>105</v>
      </c>
      <c r="B14" s="23" t="n">
        <v>46</v>
      </c>
      <c r="C14" s="23" t="n">
        <v>432000</v>
      </c>
      <c r="D14" s="23" t="n">
        <v>405000</v>
      </c>
      <c r="E14" s="23" t="n">
        <v>27000</v>
      </c>
      <c r="F14" s="23" t="n">
        <v>268000</v>
      </c>
      <c r="G14" s="23" t="n">
        <v>164000</v>
      </c>
      <c r="H14" s="23" t="n">
        <v>77760</v>
      </c>
    </row>
    <row r="15" customFormat="false" ht="18" hidden="false" customHeight="true" outlineLevel="0" collapsed="false">
      <c r="A15" s="63" t="s">
        <v>106</v>
      </c>
      <c r="B15" s="64" t="n">
        <v>50</v>
      </c>
      <c r="C15" s="64" t="n">
        <v>485000</v>
      </c>
      <c r="D15" s="64" t="n">
        <v>455000</v>
      </c>
      <c r="E15" s="64" t="n">
        <v>30000</v>
      </c>
      <c r="F15" s="64" t="n">
        <v>298000</v>
      </c>
      <c r="G15" s="64" t="n">
        <v>187000</v>
      </c>
      <c r="H15" s="64" t="n">
        <v>87300</v>
      </c>
    </row>
    <row r="16" customFormat="false" ht="21.75" hidden="false" customHeight="true" outlineLevel="0" collapsed="false">
      <c r="A16" s="33" t="s">
        <v>107</v>
      </c>
      <c r="B16" s="65" t="n">
        <f aca="false">SUM(B4:B15)</f>
        <v>508</v>
      </c>
      <c r="C16" s="65" t="n">
        <f aca="false">SUM(C4:C15)</f>
        <v>4652000</v>
      </c>
      <c r="D16" s="65" t="n">
        <f aca="false">SUM(D4:D15)</f>
        <v>4345000</v>
      </c>
      <c r="E16" s="65" t="n">
        <f aca="false">SUM(E4:E15)</f>
        <v>307000</v>
      </c>
      <c r="F16" s="65" t="n">
        <f aca="false">SUM(F4:F15)</f>
        <v>2877000</v>
      </c>
      <c r="G16" s="65" t="n">
        <f aca="false">SUM(G4:G15)</f>
        <v>1775000</v>
      </c>
      <c r="H16" s="65" t="n">
        <f aca="false">SUM(H4:H15)</f>
        <v>837360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4.5" hidden="false" customHeight="true" outlineLevel="0" collapsed="false">
      <c r="A1" s="66" t="s">
        <v>108</v>
      </c>
      <c r="B1" s="66"/>
      <c r="C1" s="66"/>
      <c r="D1" s="66"/>
      <c r="E1" s="66"/>
      <c r="F1" s="66"/>
      <c r="G1" s="66"/>
      <c r="H1" s="66"/>
    </row>
    <row r="3" customFormat="false" ht="21.75" hidden="false" customHeight="true" outlineLevel="0" collapsed="false">
      <c r="A3" s="67" t="s">
        <v>109</v>
      </c>
      <c r="B3" s="67" t="s">
        <v>110</v>
      </c>
      <c r="C3" s="67" t="s">
        <v>111</v>
      </c>
      <c r="D3" s="67" t="s">
        <v>112</v>
      </c>
      <c r="E3" s="67" t="s">
        <v>20</v>
      </c>
      <c r="F3" s="67" t="s">
        <v>113</v>
      </c>
      <c r="G3" s="67" t="s">
        <v>114</v>
      </c>
      <c r="H3" s="67" t="s">
        <v>29</v>
      </c>
    </row>
    <row r="4" customFormat="false" ht="18" hidden="false" customHeight="true" outlineLevel="0" collapsed="false">
      <c r="A4" s="22" t="n">
        <v>1</v>
      </c>
      <c r="B4" s="25" t="s">
        <v>115</v>
      </c>
      <c r="C4" s="22" t="s">
        <v>116</v>
      </c>
      <c r="D4" s="22" t="n">
        <v>18</v>
      </c>
      <c r="E4" s="23" t="n">
        <v>685000</v>
      </c>
      <c r="F4" s="23" t="n">
        <v>620000</v>
      </c>
      <c r="G4" s="23" t="n">
        <f aca="false">E4-F4</f>
        <v>65000</v>
      </c>
      <c r="H4" s="52" t="s">
        <v>117</v>
      </c>
    </row>
    <row r="5" customFormat="false" ht="18" hidden="false" customHeight="true" outlineLevel="0" collapsed="false">
      <c r="A5" s="31" t="n">
        <v>2</v>
      </c>
      <c r="B5" s="29" t="s">
        <v>118</v>
      </c>
      <c r="C5" s="31" t="s">
        <v>119</v>
      </c>
      <c r="D5" s="31" t="n">
        <v>24</v>
      </c>
      <c r="E5" s="30" t="n">
        <v>542000</v>
      </c>
      <c r="F5" s="30" t="n">
        <v>542000</v>
      </c>
      <c r="G5" s="30" t="n">
        <f aca="false">E5-F5</f>
        <v>0</v>
      </c>
      <c r="H5" s="52" t="s">
        <v>117</v>
      </c>
    </row>
    <row r="6" customFormat="false" ht="18" hidden="false" customHeight="true" outlineLevel="0" collapsed="false">
      <c r="A6" s="22" t="n">
        <v>3</v>
      </c>
      <c r="B6" s="25" t="s">
        <v>120</v>
      </c>
      <c r="C6" s="22" t="s">
        <v>121</v>
      </c>
      <c r="D6" s="22" t="n">
        <v>15</v>
      </c>
      <c r="E6" s="23" t="n">
        <v>428000</v>
      </c>
      <c r="F6" s="23" t="n">
        <v>385000</v>
      </c>
      <c r="G6" s="23" t="n">
        <f aca="false">E6-F6</f>
        <v>43000</v>
      </c>
      <c r="H6" s="68" t="s">
        <v>122</v>
      </c>
    </row>
    <row r="7" customFormat="false" ht="18" hidden="false" customHeight="true" outlineLevel="0" collapsed="false">
      <c r="A7" s="31" t="n">
        <v>4</v>
      </c>
      <c r="B7" s="29" t="s">
        <v>123</v>
      </c>
      <c r="C7" s="31" t="s">
        <v>124</v>
      </c>
      <c r="D7" s="31" t="n">
        <v>12</v>
      </c>
      <c r="E7" s="30" t="n">
        <v>398000</v>
      </c>
      <c r="F7" s="30" t="n">
        <v>398000</v>
      </c>
      <c r="G7" s="30" t="n">
        <f aca="false">E7-F7</f>
        <v>0</v>
      </c>
      <c r="H7" s="52" t="s">
        <v>117</v>
      </c>
    </row>
    <row r="8" customFormat="false" ht="18" hidden="false" customHeight="true" outlineLevel="0" collapsed="false">
      <c r="A8" s="22" t="n">
        <v>5</v>
      </c>
      <c r="B8" s="25" t="s">
        <v>125</v>
      </c>
      <c r="C8" s="22" t="s">
        <v>116</v>
      </c>
      <c r="D8" s="22" t="n">
        <v>20</v>
      </c>
      <c r="E8" s="23" t="n">
        <v>312000</v>
      </c>
      <c r="F8" s="23" t="n">
        <v>280000</v>
      </c>
      <c r="G8" s="23" t="n">
        <f aca="false">E8-F8</f>
        <v>32000</v>
      </c>
      <c r="H8" s="68" t="s">
        <v>122</v>
      </c>
    </row>
    <row r="9" customFormat="false" ht="18" hidden="false" customHeight="true" outlineLevel="0" collapsed="false">
      <c r="A9" s="31" t="n">
        <v>6</v>
      </c>
      <c r="B9" s="29" t="s">
        <v>126</v>
      </c>
      <c r="C9" s="31" t="s">
        <v>127</v>
      </c>
      <c r="D9" s="31" t="n">
        <v>16</v>
      </c>
      <c r="E9" s="30" t="n">
        <v>298000</v>
      </c>
      <c r="F9" s="30" t="n">
        <v>298000</v>
      </c>
      <c r="G9" s="30" t="n">
        <f aca="false">E9-F9</f>
        <v>0</v>
      </c>
      <c r="H9" s="68" t="s">
        <v>122</v>
      </c>
    </row>
    <row r="10" customFormat="false" ht="18" hidden="false" customHeight="true" outlineLevel="0" collapsed="false">
      <c r="A10" s="22" t="n">
        <v>7</v>
      </c>
      <c r="B10" s="25" t="s">
        <v>128</v>
      </c>
      <c r="C10" s="22" t="s">
        <v>129</v>
      </c>
      <c r="D10" s="22" t="n">
        <v>10</v>
      </c>
      <c r="E10" s="23" t="n">
        <v>245000</v>
      </c>
      <c r="F10" s="23" t="n">
        <v>215000</v>
      </c>
      <c r="G10" s="23" t="n">
        <f aca="false">E10-F10</f>
        <v>30000</v>
      </c>
      <c r="H10" s="69" t="s">
        <v>130</v>
      </c>
    </row>
    <row r="11" customFormat="false" ht="18" hidden="false" customHeight="true" outlineLevel="0" collapsed="false">
      <c r="A11" s="31" t="n">
        <v>8</v>
      </c>
      <c r="B11" s="29" t="s">
        <v>131</v>
      </c>
      <c r="C11" s="31" t="s">
        <v>132</v>
      </c>
      <c r="D11" s="31" t="n">
        <v>14</v>
      </c>
      <c r="E11" s="30" t="n">
        <v>218000</v>
      </c>
      <c r="F11" s="30" t="n">
        <v>218000</v>
      </c>
      <c r="G11" s="30" t="n">
        <f aca="false">E11-F11</f>
        <v>0</v>
      </c>
      <c r="H11" s="68" t="s">
        <v>122</v>
      </c>
    </row>
    <row r="12" customFormat="false" ht="18" hidden="false" customHeight="true" outlineLevel="0" collapsed="false">
      <c r="A12" s="22" t="n">
        <v>9</v>
      </c>
      <c r="B12" s="25" t="s">
        <v>133</v>
      </c>
      <c r="C12" s="22" t="s">
        <v>116</v>
      </c>
      <c r="D12" s="22" t="n">
        <v>8</v>
      </c>
      <c r="E12" s="23" t="n">
        <v>185000</v>
      </c>
      <c r="F12" s="23" t="n">
        <v>150000</v>
      </c>
      <c r="G12" s="23" t="n">
        <f aca="false">E12-F12</f>
        <v>35000</v>
      </c>
      <c r="H12" s="69" t="s">
        <v>130</v>
      </c>
    </row>
    <row r="13" customFormat="false" ht="18" hidden="false" customHeight="true" outlineLevel="0" collapsed="false">
      <c r="A13" s="31" t="n">
        <v>10</v>
      </c>
      <c r="B13" s="29" t="s">
        <v>134</v>
      </c>
      <c r="C13" s="31" t="s">
        <v>135</v>
      </c>
      <c r="D13" s="31" t="n">
        <v>6</v>
      </c>
      <c r="E13" s="30" t="n">
        <v>165000</v>
      </c>
      <c r="F13" s="30" t="n">
        <v>165000</v>
      </c>
      <c r="G13" s="30" t="n">
        <f aca="false">E13-F13</f>
        <v>0</v>
      </c>
      <c r="H13" s="68" t="s">
        <v>122</v>
      </c>
    </row>
    <row r="14" customFormat="false" ht="18" hidden="false" customHeight="true" outlineLevel="0" collapsed="false">
      <c r="A14" s="22" t="n">
        <v>11</v>
      </c>
      <c r="B14" s="25" t="s">
        <v>136</v>
      </c>
      <c r="C14" s="22" t="s">
        <v>137</v>
      </c>
      <c r="D14" s="22" t="n">
        <v>9</v>
      </c>
      <c r="E14" s="23" t="n">
        <v>142000</v>
      </c>
      <c r="F14" s="23" t="n">
        <v>130000</v>
      </c>
      <c r="G14" s="23" t="n">
        <f aca="false">E14-F14</f>
        <v>12000</v>
      </c>
      <c r="H14" s="69" t="s">
        <v>130</v>
      </c>
    </row>
    <row r="15" customFormat="false" ht="18" hidden="false" customHeight="true" outlineLevel="0" collapsed="false">
      <c r="A15" s="31" t="n">
        <v>12</v>
      </c>
      <c r="B15" s="29" t="s">
        <v>138</v>
      </c>
      <c r="C15" s="31" t="s">
        <v>139</v>
      </c>
      <c r="D15" s="31" t="n">
        <v>7</v>
      </c>
      <c r="E15" s="30" t="n">
        <v>128000</v>
      </c>
      <c r="F15" s="30" t="n">
        <v>128000</v>
      </c>
      <c r="G15" s="30" t="n">
        <f aca="false">E15-F15</f>
        <v>0</v>
      </c>
      <c r="H15" s="69" t="s">
        <v>130</v>
      </c>
    </row>
    <row r="16" customFormat="false" ht="21.75" hidden="false" customHeight="true" outlineLevel="0" collapsed="false">
      <c r="A16" s="70"/>
      <c r="B16" s="71" t="s">
        <v>140</v>
      </c>
      <c r="D16" s="34" t="n">
        <f aca="false">SUM(D4:D15)</f>
        <v>159</v>
      </c>
      <c r="E16" s="34" t="n">
        <f aca="false">SUM(E4:E15)</f>
        <v>3746000</v>
      </c>
      <c r="F16" s="34" t="n">
        <f aca="false">SUM(F4:F15)</f>
        <v>3529000</v>
      </c>
      <c r="G16" s="34" t="n">
        <f aca="false">SUM(G4:G15)</f>
        <v>217000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2026-04-08T10:40:06Z</dcterms:created>
  <dc:creator>openpyxl</dc:creator>
  <dc:description/>
  <dc:language>en-US</dc:language>
  <cp:lastModifiedBy/>
  <dcterms:modified xsi:type="dcterms:W3CDTF">2026-04-08T10:40:13Z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